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CB90A8AD-892A-460D-9567-C2C7FA2A97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ulador de Investimentos" sheetId="2" r:id="rId1"/>
    <sheet name="Investimentos" sheetId="1" state="hidden" r:id="rId2"/>
    <sheet name="Técnico" sheetId="3" state="hidden" r:id="rId3"/>
  </sheets>
  <definedNames>
    <definedName name="Aporte">Investimentos!$E$16:$E$16</definedName>
    <definedName name="Aporte_VersaoFinal">'Simulador de Investimentos'!$C$16:$C$16</definedName>
    <definedName name="Patrimonio">Investimentos!$E$19:$E$19</definedName>
    <definedName name="Patrimonio_VersaoFinal">'Simulador de Investimentos'!$D$20:$D$20</definedName>
    <definedName name="Qtd_Anos">Investimentos!$E$17:$E$17</definedName>
    <definedName name="Qtd_Anos_VersaoFinal">'Simulador de Investimentos'!$C$20:$C$20</definedName>
    <definedName name="QtdAnos_VersaoFinal">'Simulador de Investimentos'!$C$20:$C$20</definedName>
    <definedName name="Rendimento_Carteira">Investimentos!$C$31:$C$31</definedName>
    <definedName name="RendimentoCarteira_VersaoFinal">'Simulador de Investimentos'!$D$16:$D$16</definedName>
    <definedName name="Salario">Investimentos!$C$30:$C$30</definedName>
    <definedName name="Salario_VersaoFinal">'Simulador de Investimentos'!$B$16:$B$16</definedName>
    <definedName name="Sug_Invest">Investimentos!$C$32:$C$32</definedName>
    <definedName name="Sugestao_Investimento">Investimentos!$C$32:$C$32</definedName>
    <definedName name="Taxa_Mensal">Investimentos!$E$18:$E$18</definedName>
    <definedName name="TaxaMensal_VersaoFinal">'Simulador de Investimentos'!$B$20:$B$20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5" i="1" l="1"/>
  <c r="D49" i="2"/>
  <c r="D50" i="2"/>
  <c r="D51" i="2"/>
  <c r="D52" i="2"/>
  <c r="D53" i="2"/>
  <c r="D54" i="2"/>
  <c r="E39" i="1"/>
  <c r="F39" i="1"/>
  <c r="F23" i="1" a="1"/>
  <c r="F23" i="1"/>
  <c r="E23" i="1" a="1"/>
  <c r="E23" i="1"/>
  <c r="E19" i="1" a="1"/>
  <c r="E19" i="1"/>
  <c r="E20" i="1" a="1"/>
  <c r="E20" i="1"/>
  <c r="C16" i="2" a="1"/>
  <c r="C16" i="2"/>
  <c r="E40" i="1"/>
  <c r="E41" i="1"/>
  <c r="E42" i="1"/>
  <c r="E43" i="1"/>
  <c r="E44" i="1"/>
  <c r="B9" i="3"/>
  <c r="B10" i="3"/>
  <c r="B11" i="3"/>
  <c r="B12" i="3"/>
  <c r="B13" i="3"/>
  <c r="B14" i="3"/>
  <c r="B15" i="3"/>
  <c r="B16" i="3"/>
  <c r="B17" i="3"/>
  <c r="B18" i="3"/>
  <c r="B19" i="3"/>
  <c r="B20" i="3"/>
  <c r="B4" i="3"/>
  <c r="B5" i="3"/>
  <c r="B6" i="3"/>
  <c r="B7" i="3"/>
  <c r="B8" i="3"/>
  <c r="B3" i="3"/>
  <c r="E36" i="1" a="1"/>
  <c r="E36" i="1"/>
  <c r="E24" i="1" a="1"/>
  <c r="E24" i="1"/>
  <c r="E25" i="1" a="1"/>
  <c r="E25" i="1"/>
  <c r="E26" i="1" a="1"/>
  <c r="E26" i="1"/>
  <c r="E27" i="1" a="1"/>
  <c r="E27" i="1"/>
  <c r="C32" i="1" a="1"/>
  <c r="C32" i="1"/>
  <c r="F26" i="1" a="1"/>
  <c r="F26" i="1"/>
  <c r="F27" i="1" a="1"/>
  <c r="F27" i="1"/>
  <c r="F25" i="1" a="1"/>
  <c r="F25" i="1"/>
  <c r="F24" i="1" a="1"/>
  <c r="F24" i="1"/>
  <c r="F40" i="1"/>
  <c r="F41" i="1"/>
  <c r="F42" i="1"/>
  <c r="F43" i="1"/>
  <c r="F44" i="1"/>
  <c r="I3" i="3"/>
  <c r="E49" i="2"/>
  <c r="E54" i="2"/>
  <c r="E53" i="2"/>
  <c r="E52" i="2"/>
  <c r="E51" i="2"/>
  <c r="E50" i="2"/>
  <c r="D20" i="2" a="1"/>
  <c r="D20" i="2"/>
  <c r="E20" i="2" a="1"/>
  <c r="E20" i="2"/>
  <c r="D25" i="2" a="1"/>
  <c r="D25" i="2"/>
  <c r="E25" i="2" a="1"/>
  <c r="E25" i="2"/>
  <c r="D26" i="2" a="1"/>
  <c r="D26" i="2"/>
  <c r="E26" i="2" a="1"/>
  <c r="E26" i="2"/>
  <c r="D27" i="2" a="1"/>
  <c r="D27" i="2"/>
  <c r="E27" i="2" a="1"/>
  <c r="E27" i="2"/>
  <c r="D28" i="2" a="1"/>
  <c r="D28" i="2"/>
  <c r="E28" i="2" a="1"/>
  <c r="E28" i="2"/>
  <c r="D24" i="2" a="1"/>
  <c r="D24" i="2"/>
  <c r="E24" i="2" a="1"/>
  <c r="E24" i="2"/>
  <c r="E55" i="2" l="1"/>
  <c r="D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<sst xmlns="http://schemas.openxmlformats.org/spreadsheetml/2006/main" count="102" uniqueCount="51">
  <si>
    <t>⚙ CONFIGURAÇÕES</t>
  </si>
  <si>
    <t>Salário Mensal</t>
  </si>
  <si>
    <t>Aporte Mensal (30%)</t>
  </si>
  <si>
    <t>Rendimento Carteira</t>
  </si>
  <si>
    <t>Perfil</t>
  </si>
  <si>
    <t>Conservador</t>
  </si>
  <si>
    <t>📊 MINHA PROJEÇÃO</t>
  </si>
  <si>
    <t>Taxa</t>
  </si>
  <si>
    <t>Prazo (Em anos)</t>
  </si>
  <si>
    <t>Patrimônio Acumulado</t>
  </si>
  <si>
    <t>Dividendos Mensais</t>
  </si>
  <si>
    <t>CENÁRIOS</t>
  </si>
  <si>
    <t>Prazo</t>
  </si>
  <si>
    <t>2 Anos</t>
  </si>
  <si>
    <t>5 Anos</t>
  </si>
  <si>
    <t>10 Anos</t>
  </si>
  <si>
    <t>20 Anos</t>
  </si>
  <si>
    <t>30 Anos</t>
  </si>
  <si>
    <t>DISTRIBUIÇÃO DE APORTE</t>
  </si>
  <si>
    <t>TIPO DE FII</t>
  </si>
  <si>
    <t>Percentual Sugerido</t>
  </si>
  <si>
    <t>Valores</t>
  </si>
  <si>
    <t>PAPEL (Dívidas Imobiliárias)</t>
  </si>
  <si>
    <t>TIJOLO (Shoppings. prédios etc)</t>
  </si>
  <si>
    <t xml:space="preserve">HÍBRIDOS </t>
  </si>
  <si>
    <t>FOF's (Fundos de fundos)</t>
  </si>
  <si>
    <t>DESENVOLVIMENTO (Novas obras)</t>
  </si>
  <si>
    <t>HOTELARIA</t>
  </si>
  <si>
    <t/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</si>
  <si>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</si>
  <si>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</si>
  <si>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</si>
  <si>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</si>
  <si>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</si>
  <si>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</si>
  <si>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DIVIDENDOS</t>
  </si>
  <si>
    <t>Quantos em 02 anos?</t>
  </si>
  <si>
    <t>Quantos em 05 anos?</t>
  </si>
  <si>
    <t>Quantos em 10 anos?</t>
  </si>
  <si>
    <t>Quantos em 20 anos?</t>
  </si>
  <si>
    <t>Quantos em 30 anos?</t>
  </si>
  <si>
    <t>CONFIGURAÇÕES</t>
  </si>
  <si>
    <t>Salário</t>
  </si>
  <si>
    <t>Sugestão de Investimento (30%)</t>
  </si>
  <si>
    <t>PERFIL</t>
  </si>
  <si>
    <t>VALOR A SER INVESTIDO POR MÊS</t>
  </si>
  <si>
    <t>CHAVE</t>
  </si>
  <si>
    <t>%</t>
  </si>
  <si>
    <t>Moderado-TIJOLO (Shoppings. prédios etc)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</si>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</sst>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>
    <font>
      <sz val="11"/>
      <color theme="1"/>
      <name val="Calibri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2"/>
      <color theme="1"/>
      <name val="Century Gothic"/>
    </font>
    <font>
      <b/>
      <sz val="12"/>
      <color theme="0"/>
      <name val="Century Gothic"/>
    </font>
    <font>
      <b/>
      <sz val="12"/>
      <color theme="1"/>
      <name val="Century Gothic"/>
    </font>
    <font>
      <sz val="12"/>
      <color theme="0"/>
      <name val="Century Gothic"/>
    </font>
    <font>
      <b/>
      <sz val="12"/>
      <color theme="0" tint="-0.249977111117893"/>
      <name val="Century Gothic"/>
    </font>
    <font>
      <sz val="12"/>
      <color theme="0" tint="-0.249977111117893"/>
      <name val="Century Gothic"/>
    </font>
    <font>
      <b/>
      <sz val="14"/>
      <color theme="1"/>
      <name val="Century Gothic"/>
    </font>
    <font>
      <b/>
      <sz val="14"/>
      <color theme="5"/>
      <name val="Century Gothic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9F6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4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1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1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1"/>
      </right>
      <top/>
      <bottom/>
      <diagonal/>
    </border>
    <border>
      <left style="thin">
        <color theme="1"/>
      </left>
      <right style="thin">
        <color theme="5"/>
      </right>
      <top style="thin">
        <color theme="1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1"/>
      </top>
      <bottom style="thin">
        <color theme="5"/>
      </bottom>
      <diagonal/>
    </border>
    <border>
      <left style="thin">
        <color theme="5"/>
      </left>
      <right style="thin">
        <color theme="1"/>
      </right>
      <top style="thin">
        <color theme="1"/>
      </top>
      <bottom style="thin">
        <color theme="5"/>
      </bottom>
      <diagonal/>
    </border>
    <border>
      <left style="thin">
        <color theme="1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/>
      <bottom style="medium">
        <color theme="1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/>
      <top/>
      <bottom style="double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/>
      <bottom style="double">
        <color theme="0"/>
      </bottom>
      <diagonal/>
    </border>
    <border>
      <left/>
      <right style="thin">
        <color theme="0"/>
      </right>
      <top/>
      <bottom style="double">
        <color theme="0"/>
      </bottom>
      <diagonal/>
    </border>
    <border>
      <left/>
      <right style="medium">
        <color theme="0"/>
      </right>
      <top/>
      <bottom style="double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1" fillId="0" borderId="17" xfId="0" applyFont="1" applyBorder="1"/>
    <xf numFmtId="9" fontId="1" fillId="0" borderId="17" xfId="0" applyNumberFormat="1" applyFont="1" applyBorder="1" applyAlignment="1">
      <alignment horizontal="center" vertical="center"/>
    </xf>
    <xf numFmtId="9" fontId="1" fillId="0" borderId="0" xfId="0" applyNumberFormat="1" applyFont="1"/>
    <xf numFmtId="9" fontId="1" fillId="0" borderId="0" xfId="0" applyNumberFormat="1" applyFont="1" applyAlignment="1">
      <alignment horizontal="center"/>
    </xf>
    <xf numFmtId="9" fontId="1" fillId="0" borderId="17" xfId="0" applyNumberFormat="1" applyFont="1" applyBorder="1" applyAlignment="1">
      <alignment horizontal="center"/>
    </xf>
    <xf numFmtId="0" fontId="1" fillId="4" borderId="0" xfId="0" applyFont="1" applyFill="1"/>
    <xf numFmtId="9" fontId="1" fillId="4" borderId="0" xfId="0" applyNumberFormat="1" applyFont="1" applyFill="1" applyAlignment="1">
      <alignment horizontal="center"/>
    </xf>
    <xf numFmtId="9" fontId="1" fillId="10" borderId="0" xfId="0" applyNumberFormat="1" applyFont="1" applyFill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0" fontId="1" fillId="4" borderId="0" xfId="0" applyFont="1" applyFill="1" applyAlignment="1">
      <alignment vertical="center"/>
    </xf>
    <xf numFmtId="0" fontId="1" fillId="0" borderId="17" xfId="0" applyFont="1" applyBorder="1" applyAlignment="1">
      <alignment vertical="center"/>
    </xf>
    <xf numFmtId="9" fontId="1" fillId="4" borderId="0" xfId="0" applyNumberFormat="1" applyFont="1" applyFill="1"/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164" fontId="5" fillId="0" borderId="1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8" fontId="5" fillId="2" borderId="5" xfId="0" applyNumberFormat="1" applyFont="1" applyFill="1" applyBorder="1" applyAlignment="1">
      <alignment horizontal="center" vertical="center"/>
    </xf>
    <xf numFmtId="8" fontId="5" fillId="2" borderId="8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8" fontId="3" fillId="5" borderId="0" xfId="0" applyNumberFormat="1" applyFont="1" applyFill="1" applyBorder="1" applyAlignment="1">
      <alignment horizontal="left" vertical="center"/>
    </xf>
    <xf numFmtId="8" fontId="3" fillId="5" borderId="5" xfId="0" applyNumberFormat="1" applyFont="1" applyFill="1" applyBorder="1" applyAlignment="1">
      <alignment horizontal="left" vertical="center"/>
    </xf>
    <xf numFmtId="8" fontId="3" fillId="5" borderId="7" xfId="0" applyNumberFormat="1" applyFont="1" applyFill="1" applyBorder="1" applyAlignment="1">
      <alignment horizontal="left" vertical="center"/>
    </xf>
    <xf numFmtId="8" fontId="3" fillId="5" borderId="8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164" fontId="3" fillId="0" borderId="12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vertical="center" wrapText="1"/>
    </xf>
    <xf numFmtId="9" fontId="3" fillId="0" borderId="11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164" fontId="3" fillId="3" borderId="1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9" fontId="5" fillId="7" borderId="0" xfId="0" applyNumberFormat="1" applyFont="1" applyFill="1" applyAlignment="1">
      <alignment vertical="center"/>
    </xf>
    <xf numFmtId="9" fontId="3" fillId="0" borderId="0" xfId="0" applyNumberFormat="1" applyFont="1" applyAlignment="1">
      <alignment horizontal="center" vertical="center"/>
    </xf>
    <xf numFmtId="164" fontId="3" fillId="9" borderId="0" xfId="0" applyNumberFormat="1" applyFont="1" applyFill="1" applyAlignment="1">
      <alignment vertical="center"/>
    </xf>
    <xf numFmtId="0" fontId="3" fillId="7" borderId="0" xfId="0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9" fontId="5" fillId="0" borderId="11" xfId="0" applyNumberFormat="1" applyFont="1" applyBorder="1" applyAlignment="1">
      <alignment horizontal="center" vertical="center"/>
    </xf>
    <xf numFmtId="0" fontId="6" fillId="11" borderId="0" xfId="0" applyFont="1" applyFill="1"/>
    <xf numFmtId="0" fontId="3" fillId="11" borderId="0" xfId="0" applyFont="1" applyFill="1"/>
    <xf numFmtId="164" fontId="6" fillId="11" borderId="23" xfId="0" applyNumberFormat="1" applyFont="1" applyFill="1" applyBorder="1" applyAlignment="1">
      <alignment horizontal="center"/>
    </xf>
    <xf numFmtId="164" fontId="6" fillId="11" borderId="25" xfId="0" applyNumberFormat="1" applyFont="1" applyFill="1" applyBorder="1" applyAlignment="1">
      <alignment horizontal="center"/>
    </xf>
    <xf numFmtId="9" fontId="6" fillId="11" borderId="25" xfId="0" applyNumberFormat="1" applyFont="1" applyFill="1" applyBorder="1" applyAlignment="1">
      <alignment horizontal="center"/>
    </xf>
    <xf numFmtId="10" fontId="6" fillId="11" borderId="23" xfId="0" applyNumberFormat="1" applyFont="1" applyFill="1" applyBorder="1" applyAlignment="1">
      <alignment horizontal="center"/>
    </xf>
    <xf numFmtId="0" fontId="6" fillId="11" borderId="25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 vertical="center"/>
    </xf>
    <xf numFmtId="0" fontId="5" fillId="12" borderId="22" xfId="0" applyFont="1" applyFill="1" applyBorder="1" applyAlignment="1">
      <alignment horizontal="center" vertical="center"/>
    </xf>
    <xf numFmtId="164" fontId="6" fillId="11" borderId="29" xfId="0" applyNumberFormat="1" applyFont="1" applyFill="1" applyBorder="1" applyAlignment="1">
      <alignment horizontal="center" vertical="center"/>
    </xf>
    <xf numFmtId="164" fontId="6" fillId="11" borderId="30" xfId="0" applyNumberFormat="1" applyFont="1" applyFill="1" applyBorder="1" applyAlignment="1">
      <alignment horizontal="center" vertical="center"/>
    </xf>
    <xf numFmtId="9" fontId="6" fillId="11" borderId="32" xfId="0" applyNumberFormat="1" applyFont="1" applyFill="1" applyBorder="1" applyAlignment="1">
      <alignment horizontal="center" vertical="center"/>
    </xf>
    <xf numFmtId="9" fontId="6" fillId="11" borderId="31" xfId="0" applyNumberFormat="1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4" fillId="11" borderId="37" xfId="0" applyFont="1" applyFill="1" applyBorder="1" applyAlignment="1">
      <alignment horizontal="center"/>
    </xf>
    <xf numFmtId="0" fontId="4" fillId="11" borderId="38" xfId="0" applyFont="1" applyFill="1" applyBorder="1" applyAlignment="1">
      <alignment horizontal="center"/>
    </xf>
    <xf numFmtId="0" fontId="4" fillId="13" borderId="37" xfId="0" applyFont="1" applyFill="1" applyBorder="1" applyAlignment="1">
      <alignment horizontal="center"/>
    </xf>
    <xf numFmtId="0" fontId="4" fillId="13" borderId="38" xfId="0" applyFont="1" applyFill="1" applyBorder="1" applyAlignment="1">
      <alignment horizontal="center"/>
    </xf>
    <xf numFmtId="8" fontId="6" fillId="13" borderId="25" xfId="0" applyNumberFormat="1" applyFont="1" applyFill="1" applyBorder="1" applyAlignment="1">
      <alignment horizontal="center"/>
    </xf>
    <xf numFmtId="164" fontId="6" fillId="13" borderId="19" xfId="0" applyNumberFormat="1" applyFont="1" applyFill="1" applyBorder="1" applyAlignment="1">
      <alignment horizontal="center"/>
    </xf>
    <xf numFmtId="8" fontId="8" fillId="13" borderId="24" xfId="0" applyNumberFormat="1" applyFont="1" applyFill="1" applyBorder="1" applyAlignment="1">
      <alignment horizontal="center"/>
    </xf>
    <xf numFmtId="8" fontId="8" fillId="13" borderId="0" xfId="0" applyNumberFormat="1" applyFont="1" applyFill="1" applyAlignment="1">
      <alignment horizontal="center"/>
    </xf>
    <xf numFmtId="8" fontId="8" fillId="13" borderId="37" xfId="0" applyNumberFormat="1" applyFont="1" applyFill="1" applyBorder="1" applyAlignment="1">
      <alignment horizontal="center"/>
    </xf>
    <xf numFmtId="8" fontId="8" fillId="13" borderId="26" xfId="0" applyNumberFormat="1" applyFont="1" applyFill="1" applyBorder="1" applyAlignment="1">
      <alignment horizontal="center"/>
    </xf>
    <xf numFmtId="0" fontId="7" fillId="13" borderId="24" xfId="0" applyFont="1" applyFill="1" applyBorder="1" applyAlignment="1">
      <alignment horizontal="right" indent="2"/>
    </xf>
    <xf numFmtId="0" fontId="7" fillId="11" borderId="0" xfId="0" applyFont="1" applyFill="1" applyBorder="1" applyAlignment="1">
      <alignment indent="2"/>
    </xf>
    <xf numFmtId="0" fontId="7" fillId="11" borderId="26" xfId="0" applyFont="1" applyFill="1" applyBorder="1" applyAlignment="1">
      <alignment indent="2"/>
    </xf>
    <xf numFmtId="0" fontId="7" fillId="13" borderId="37" xfId="0" applyFont="1" applyFill="1" applyBorder="1" applyAlignment="1">
      <alignment horizontal="right" indent="2"/>
    </xf>
    <xf numFmtId="0" fontId="6" fillId="4" borderId="19" xfId="0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4" fillId="11" borderId="28" xfId="0" applyFont="1" applyFill="1" applyBorder="1" applyAlignment="1">
      <alignment horizontal="center"/>
    </xf>
    <xf numFmtId="0" fontId="4" fillId="11" borderId="31" xfId="0" applyFont="1" applyFill="1" applyBorder="1" applyAlignment="1">
      <alignment horizontal="center"/>
    </xf>
    <xf numFmtId="0" fontId="5" fillId="12" borderId="20" xfId="0" applyFont="1" applyFill="1" applyBorder="1" applyAlignment="1">
      <alignment horizontal="center"/>
    </xf>
    <xf numFmtId="0" fontId="5" fillId="12" borderId="21" xfId="0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5" fillId="12" borderId="33" xfId="0" applyFont="1" applyFill="1" applyBorder="1" applyAlignment="1">
      <alignment horizontal="center"/>
    </xf>
    <xf numFmtId="0" fontId="5" fillId="12" borderId="34" xfId="0" applyFont="1" applyFill="1" applyBorder="1" applyAlignment="1">
      <alignment horizontal="center"/>
    </xf>
    <xf numFmtId="0" fontId="4" fillId="11" borderId="35" xfId="0" applyFont="1" applyFill="1" applyBorder="1" applyAlignment="1">
      <alignment horizontal="center"/>
    </xf>
    <xf numFmtId="0" fontId="4" fillId="11" borderId="32" xfId="0" applyFont="1" applyFill="1" applyBorder="1" applyAlignment="1">
      <alignment horizontal="center"/>
    </xf>
    <xf numFmtId="0" fontId="4" fillId="11" borderId="18" xfId="0" applyFont="1" applyFill="1" applyBorder="1" applyAlignment="1">
      <alignment horizontal="right" indent="2"/>
    </xf>
    <xf numFmtId="0" fontId="4" fillId="11" borderId="25" xfId="0" applyFont="1" applyFill="1" applyBorder="1" applyAlignment="1">
      <alignment horizontal="right" indent="2"/>
    </xf>
    <xf numFmtId="0" fontId="5" fillId="12" borderId="20" xfId="0" applyFont="1" applyFill="1" applyBorder="1" applyAlignment="1">
      <alignment horizontal="center" vertical="top"/>
    </xf>
    <xf numFmtId="0" fontId="5" fillId="12" borderId="21" xfId="0" applyFont="1" applyFill="1" applyBorder="1" applyAlignment="1">
      <alignment horizontal="center" vertical="top"/>
    </xf>
    <xf numFmtId="0" fontId="5" fillId="12" borderId="22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6" fillId="6" borderId="6" xfId="0" applyFont="1" applyFill="1" applyBorder="1" applyAlignment="1">
      <alignment horizontal="left" vertical="center" indent="2"/>
    </xf>
    <xf numFmtId="0" fontId="6" fillId="6" borderId="7" xfId="0" applyFont="1" applyFill="1" applyBorder="1" applyAlignment="1">
      <alignment horizontal="left" vertical="center" indent="2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164" fontId="5" fillId="8" borderId="0" xfId="0" applyNumberFormat="1" applyFont="1" applyFill="1" applyAlignment="1">
      <alignment horizontal="right" vertical="center"/>
    </xf>
    <xf numFmtId="0" fontId="4" fillId="6" borderId="1" xfId="0" applyFont="1" applyFill="1" applyBorder="1" applyAlignment="1">
      <alignment horizontal="left" vertical="center" indent="7"/>
    </xf>
    <xf numFmtId="0" fontId="4" fillId="6" borderId="2" xfId="0" applyFont="1" applyFill="1" applyBorder="1" applyAlignment="1">
      <alignment horizontal="left" vertical="center" indent="7"/>
    </xf>
    <xf numFmtId="0" fontId="6" fillId="6" borderId="4" xfId="0" applyFont="1" applyFill="1" applyBorder="1" applyAlignment="1">
      <alignment horizontal="left" vertical="center" indent="2"/>
    </xf>
    <xf numFmtId="0" fontId="6" fillId="6" borderId="0" xfId="0" applyFont="1" applyFill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3" fillId="0" borderId="14" xfId="0" applyFont="1" applyBorder="1" applyAlignment="1">
      <alignment horizontal="left" vertical="center" indent="2"/>
    </xf>
    <xf numFmtId="0" fontId="3" fillId="0" borderId="16" xfId="0" applyFont="1" applyBorder="1" applyAlignment="1">
      <alignment horizontal="left" vertical="center" indent="2"/>
    </xf>
    <xf numFmtId="0" fontId="3" fillId="0" borderId="9" xfId="0" applyFont="1" applyBorder="1" applyAlignment="1">
      <alignment horizontal="left" vertical="center" indent="2"/>
    </xf>
    <xf numFmtId="0" fontId="5" fillId="2" borderId="4" xfId="0" applyFont="1" applyFill="1" applyBorder="1" applyAlignment="1">
      <alignment horizontal="left" vertical="center" indent="2"/>
    </xf>
    <xf numFmtId="0" fontId="5" fillId="2" borderId="0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left" vertical="center" indent="2"/>
    </xf>
    <xf numFmtId="0" fontId="5" fillId="2" borderId="7" xfId="0" applyFont="1" applyFill="1" applyBorder="1" applyAlignment="1">
      <alignment horizontal="left" vertical="center" indent="2"/>
    </xf>
    <xf numFmtId="0" fontId="4" fillId="11" borderId="39" xfId="0" applyFont="1" applyFill="1" applyBorder="1" applyAlignment="1">
      <alignment horizontal="center"/>
    </xf>
    <xf numFmtId="0" fontId="4" fillId="11" borderId="40" xfId="0" applyFont="1" applyFill="1" applyBorder="1" applyAlignment="1">
      <alignment horizontal="center"/>
    </xf>
    <xf numFmtId="9" fontId="6" fillId="11" borderId="40" xfId="0" applyNumberFormat="1" applyFont="1" applyFill="1" applyBorder="1" applyAlignment="1">
      <alignment horizontal="center" vertical="center"/>
    </xf>
    <xf numFmtId="164" fontId="6" fillId="11" borderId="41" xfId="0" applyNumberFormat="1" applyFont="1" applyFill="1" applyBorder="1" applyAlignment="1">
      <alignment horizontal="center" vertical="center"/>
    </xf>
    <xf numFmtId="0" fontId="6" fillId="12" borderId="20" xfId="0" applyFont="1" applyFill="1" applyBorder="1"/>
    <xf numFmtId="0" fontId="6" fillId="12" borderId="21" xfId="0" applyFont="1" applyFill="1" applyBorder="1"/>
    <xf numFmtId="0" fontId="6" fillId="12" borderId="43" xfId="0" applyFont="1" applyFill="1" applyBorder="1"/>
    <xf numFmtId="0" fontId="4" fillId="12" borderId="44" xfId="0" applyFont="1" applyFill="1" applyBorder="1" applyAlignment="1">
      <alignment horizontal="center"/>
    </xf>
    <xf numFmtId="9" fontId="9" fillId="12" borderId="44" xfId="0" applyNumberFormat="1" applyFont="1" applyFill="1" applyBorder="1" applyAlignment="1">
      <alignment horizontal="center" vertical="center"/>
    </xf>
    <xf numFmtId="9" fontId="9" fillId="12" borderId="42" xfId="0" applyNumberFormat="1" applyFont="1" applyFill="1" applyBorder="1" applyAlignment="1">
      <alignment horizontal="center" vertical="center"/>
    </xf>
    <xf numFmtId="164" fontId="10" fillId="12" borderId="45" xfId="0" applyNumberFormat="1" applyFont="1" applyFill="1" applyBorder="1" applyAlignment="1">
      <alignment horizontal="center" vertical="center"/>
    </xf>
    <xf numFmtId="164" fontId="10" fillId="12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8C5A"/>
      <color rgb="FFF09F69"/>
      <color rgb="FFF0965A"/>
      <color rgb="FFE8B28E"/>
      <color rgb="FFF0BC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FFFFFF"/>
                </a:solidFill>
                <a:latin typeface="Century"/>
                <a:ea typeface="Century"/>
                <a:cs typeface="Century"/>
              </a:defRPr>
            </a:pPr>
            <a:r>
              <a:rPr lang="en-US"/>
              <a:t>Percentual de FII's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FFFFFF"/>
              </a:solidFill>
              <a:latin typeface="Century"/>
              <a:ea typeface="Century"/>
              <a:cs typeface="Century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'Simulador de Investimentos'!$D$48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42-4B2C-A700-884781C05A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42-4B2C-A700-884781C05A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42-4B2C-A700-884781C05A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42-4B2C-A700-884781C05A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42-4B2C-A700-884781C05A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42-4B2C-A700-884781C05A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de Investimentos'!$B$49:$B$54</c:f>
              <c:strCache>
                <c:ptCount val="6"/>
                <c:pt idx="0">
                  <c:v>PAPEL (Dívidas Imobiliárias)</c:v>
                </c:pt>
                <c:pt idx="1">
                  <c:v>TIJOLO (Shoppings. prédios etc)</c:v>
                </c:pt>
                <c:pt idx="2">
                  <c:v>HÍBRIDOS </c:v>
                </c:pt>
                <c:pt idx="3">
                  <c:v>FOF's (Fundos de fundos)</c:v>
                </c:pt>
                <c:pt idx="4">
                  <c:v>DESENVOLVIMENTO (Novas obras)</c:v>
                </c:pt>
                <c:pt idx="5">
                  <c:v>HOTELARIA</c:v>
                </c:pt>
              </c:strCache>
            </c:strRef>
          </c:cat>
          <c:val>
            <c:numRef>
              <c:f>'Simulador de Investimentos'!$D$49:$D$54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2-4330-BE59-4BAABDBFC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FFFFFF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Investimentos!$C$38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35-472E-8E3F-1A0E37C86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35-472E-8E3F-1A0E37C86B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35-472E-8E3F-1A0E37C86B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35-472E-8E3F-1A0E37C86B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35-472E-8E3F-1A0E37C86B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35-472E-8E3F-1A0E37C86B9B}"/>
              </c:ext>
            </c:extLst>
          </c:dPt>
          <c:cat>
            <c:strRef>
              <c:f>Investimentos!$B$39:$B$44</c:f>
              <c:strCache>
                <c:ptCount val="6"/>
                <c:pt idx="0">
                  <c:v>PAPEL (Dívidas Imobiliárias)</c:v>
                </c:pt>
                <c:pt idx="1">
                  <c:v>TIJOLO (Shoppings. prédios etc)</c:v>
                </c:pt>
                <c:pt idx="2">
                  <c:v>HÍBRIDOS </c:v>
                </c:pt>
                <c:pt idx="3">
                  <c:v>FOF's (Fundos de fundos)</c:v>
                </c:pt>
                <c:pt idx="4">
                  <c:v>DESENVOLVIMENTO (Novas obras)</c:v>
                </c:pt>
                <c:pt idx="5">
                  <c:v>HOTELARIA</c:v>
                </c:pt>
              </c:strCache>
            </c:strRef>
          </c:cat>
          <c:val>
            <c:numRef>
              <c:f>Investimentos!$C$39:$C$44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5-0664-4049-BE13-E9832467C46B}"/>
            </c:ext>
          </c:extLst>
        </c:ser>
        <c:ser>
          <c:idx val="1"/>
          <c:order val="1"/>
          <c:tx>
            <c:strRef>
              <c:f>Investimentos!$D$38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35-472E-8E3F-1A0E37C86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C35-472E-8E3F-1A0E37C86B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C35-472E-8E3F-1A0E37C86B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C35-472E-8E3F-1A0E37C86B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C35-472E-8E3F-1A0E37C86B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C35-472E-8E3F-1A0E37C86B9B}"/>
              </c:ext>
            </c:extLst>
          </c:dPt>
          <c:cat>
            <c:strRef>
              <c:f>Investimentos!$B$39:$B$44</c:f>
              <c:strCache>
                <c:ptCount val="6"/>
                <c:pt idx="0">
                  <c:v>PAPEL (Dívidas Imobiliárias)</c:v>
                </c:pt>
                <c:pt idx="1">
                  <c:v>TIJOLO (Shoppings. prédios etc)</c:v>
                </c:pt>
                <c:pt idx="2">
                  <c:v>HÍBRIDOS </c:v>
                </c:pt>
                <c:pt idx="3">
                  <c:v>FOF's (Fundos de fundos)</c:v>
                </c:pt>
                <c:pt idx="4">
                  <c:v>DESENVOLVIMENTO (Novas obras)</c:v>
                </c:pt>
                <c:pt idx="5">
                  <c:v>HOTELARIA</c:v>
                </c:pt>
              </c:strCache>
            </c:strRef>
          </c:cat>
          <c:val>
            <c:numRef>
              <c:f>Investimentos!$D$39:$D$44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7-0664-4049-BE13-E9832467C46B}"/>
            </c:ext>
          </c:extLst>
        </c:ser>
        <c:ser>
          <c:idx val="2"/>
          <c:order val="2"/>
          <c:tx>
            <c:strRef>
              <c:f>Investimentos!$E$38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C35-472E-8E3F-1A0E37C86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C35-472E-8E3F-1A0E37C86B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C35-472E-8E3F-1A0E37C86B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C35-472E-8E3F-1A0E37C86B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C35-472E-8E3F-1A0E37C86B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C35-472E-8E3F-1A0E37C86B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Display"/>
                    <a:ea typeface="Aptos Display"/>
                    <a:cs typeface="Aptos Display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Investimentos!$B$39:$B$44</c:f>
              <c:strCache>
                <c:ptCount val="6"/>
                <c:pt idx="0">
                  <c:v>PAPEL (Dívidas Imobiliárias)</c:v>
                </c:pt>
                <c:pt idx="1">
                  <c:v>TIJOLO (Shoppings. prédios etc)</c:v>
                </c:pt>
                <c:pt idx="2">
                  <c:v>HÍBRIDOS </c:v>
                </c:pt>
                <c:pt idx="3">
                  <c:v>FOF's (Fundos de fundos)</c:v>
                </c:pt>
                <c:pt idx="4">
                  <c:v>DESENVOLVIMENTO (Novas obras)</c:v>
                </c:pt>
                <c:pt idx="5">
                  <c:v>HOTELARIA</c:v>
                </c:pt>
              </c:strCache>
            </c:strRef>
          </c:cat>
          <c:val>
            <c:numRef>
              <c:f>Investimentos!$E$39:$E$44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664-4049-BE13-E9832467C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12</xdr:row>
      <xdr:rowOff>123825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AAD763A1-96B6-43C8-9401-5D68AB3C7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2250" cy="27527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4</xdr:col>
      <xdr:colOff>1552575</xdr:colOff>
      <xdr:row>46</xdr:row>
      <xdr:rowOff>200025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92E822-BA9C-108D-7200-D4579C81AD98}"/>
            </a:ext>
            <a:ext uri="{147F2762-F138-4A5C-976F-8EAC2B608ADB}">
              <a16:predDERef xmlns:a16="http://schemas.microsoft.com/office/drawing/2014/main" pred="{AAD763A1-96B6-43C8-9401-5D68AB3C7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598320</xdr:colOff>
      <xdr:row>13</xdr:row>
      <xdr:rowOff>13708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5289CA-2B22-DE64-219C-E0F8B1F72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87548" cy="267894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45</xdr:row>
      <xdr:rowOff>104775</xdr:rowOff>
    </xdr:from>
    <xdr:to>
      <xdr:col>6</xdr:col>
      <xdr:colOff>580188</xdr:colOff>
      <xdr:row>67</xdr:row>
      <xdr:rowOff>199439</xdr:rowOff>
    </xdr:to>
    <xdr:graphicFrame macro="">
      <xdr:nvGraphicFramePr>
        <xdr:cNvPr id="18" name="Gráfico 2">
          <a:extLst>
            <a:ext uri="{FF2B5EF4-FFF2-40B4-BE49-F238E27FC236}">
              <a16:creationId xmlns:a16="http://schemas.microsoft.com/office/drawing/2014/main" id="{01107956-0727-AD6B-07CA-EDE5E7CCBDD0}"/>
            </a:ext>
            <a:ext uri="{147F2762-F138-4A5C-976F-8EAC2B608ADB}">
              <a16:predDERef xmlns:a16="http://schemas.microsoft.com/office/drawing/2014/main" pred="{2E5289CA-2B22-DE64-219C-E0F8B1F72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FA3D-2862-4239-9D1A-F816FB66E32A}">
  <sheetPr>
    <tabColor rgb="FF00B050"/>
  </sheetPr>
  <dimension ref="A1:O59"/>
  <sheetViews>
    <sheetView showGridLines="0" showRowColHeaders="0" tabSelected="1" topLeftCell="A32" workbookViewId="0">
      <selection activeCell="D58" sqref="D58"/>
    </sheetView>
  </sheetViews>
  <sheetFormatPr defaultColWidth="0" defaultRowHeight="17.25" zeroHeight="1"/>
  <cols>
    <col min="1" max="1" width="3.140625" style="45" customWidth="1"/>
    <col min="2" max="2" width="17.42578125" style="45" bestFit="1" customWidth="1"/>
    <col min="3" max="3" width="24.5703125" style="45" bestFit="1" customWidth="1"/>
    <col min="4" max="4" width="27.28515625" style="45" bestFit="1" customWidth="1"/>
    <col min="5" max="5" width="23.42578125" style="45" bestFit="1" customWidth="1"/>
    <col min="6" max="6" width="2.7109375" style="45" customWidth="1"/>
    <col min="7" max="12" width="0" style="45" hidden="1" customWidth="1"/>
    <col min="13" max="13" width="17.85546875" style="45" hidden="1" customWidth="1"/>
    <col min="14" max="14" width="13.28515625" style="45" hidden="1" customWidth="1"/>
    <col min="15" max="15" width="17.5703125" style="45" hidden="1" customWidth="1"/>
    <col min="16" max="16384" width="0" style="45" hidden="1"/>
  </cols>
  <sheetData>
    <row r="1" spans="2:5" ht="16.5"/>
    <row r="2" spans="2:5" ht="16.5"/>
    <row r="3" spans="2:5" ht="16.5"/>
    <row r="4" spans="2:5" ht="16.5"/>
    <row r="5" spans="2:5" ht="16.5"/>
    <row r="6" spans="2:5" ht="16.5"/>
    <row r="7" spans="2:5" ht="16.5"/>
    <row r="8" spans="2:5" ht="16.5"/>
    <row r="9" spans="2:5" ht="16.5"/>
    <row r="10" spans="2:5" ht="16.5"/>
    <row r="11" spans="2:5" ht="16.5"/>
    <row r="12" spans="2:5" ht="16.5"/>
    <row r="13" spans="2:5" ht="16.5"/>
    <row r="14" spans="2:5" ht="16.5">
      <c r="B14" s="88" t="s">
        <v>0</v>
      </c>
      <c r="C14" s="89"/>
      <c r="D14" s="89"/>
      <c r="E14" s="90"/>
    </row>
    <row r="15" spans="2:5" ht="16.5">
      <c r="B15" s="60" t="s">
        <v>1</v>
      </c>
      <c r="C15" s="61" t="s">
        <v>2</v>
      </c>
      <c r="D15" s="61" t="s">
        <v>3</v>
      </c>
      <c r="E15" s="62" t="s">
        <v>4</v>
      </c>
    </row>
    <row r="16" spans="2:5" ht="16.5">
      <c r="B16" s="47">
        <v>4800</v>
      </c>
      <c r="C16" s="48" cm="1">
        <f t="array" ref="C16">Salario_VersaoFinal*30%</f>
        <v>1440</v>
      </c>
      <c r="D16" s="49">
        <v>6.0000000000000001E-3</v>
      </c>
      <c r="E16" s="75" t="s">
        <v>5</v>
      </c>
    </row>
    <row r="17" spans="1:5" ht="16.5"/>
    <row r="18" spans="1:5" ht="16.5">
      <c r="B18" s="79" t="s">
        <v>6</v>
      </c>
      <c r="C18" s="80"/>
      <c r="D18" s="80"/>
      <c r="E18" s="81"/>
    </row>
    <row r="19" spans="1:5" ht="16.5">
      <c r="B19" s="60" t="s">
        <v>7</v>
      </c>
      <c r="C19" s="61" t="s">
        <v>8</v>
      </c>
      <c r="D19" s="63" t="s">
        <v>9</v>
      </c>
      <c r="E19" s="64" t="s">
        <v>10</v>
      </c>
    </row>
    <row r="20" spans="1:5" ht="16.5">
      <c r="B20" s="50">
        <v>1.0789999999999999E-2</v>
      </c>
      <c r="C20" s="51">
        <v>10</v>
      </c>
      <c r="D20" s="65" cm="1">
        <f t="array" ref="D20">FV(TaxaMensal_VersaoFinal,QtdAnos_VersaoFinal*12,Aporte_VersaoFinal*-1)</f>
        <v>350329.26604344795</v>
      </c>
      <c r="E20" s="66" cm="1">
        <f t="array" ref="E20">Patrimonio_VersaoFinal*RendimentoCarteira_VersaoFinal</f>
        <v>2101.9755962606878</v>
      </c>
    </row>
    <row r="21" spans="1:5" ht="16.5"/>
    <row r="22" spans="1:5" ht="16.5">
      <c r="B22" s="79" t="s">
        <v>11</v>
      </c>
      <c r="C22" s="80"/>
      <c r="D22" s="80"/>
      <c r="E22" s="81"/>
    </row>
    <row r="23" spans="1:5" ht="16.5">
      <c r="B23" s="86" t="s">
        <v>12</v>
      </c>
      <c r="C23" s="87"/>
      <c r="D23" s="58" t="s">
        <v>9</v>
      </c>
      <c r="E23" s="59" t="s">
        <v>10</v>
      </c>
    </row>
    <row r="24" spans="1:5" ht="16.5">
      <c r="A24" s="46">
        <v>2</v>
      </c>
      <c r="B24" s="72"/>
      <c r="C24" s="71" t="s">
        <v>13</v>
      </c>
      <c r="D24" s="67" cm="1">
        <f t="array" ref="D24">FV(TaxaMensal_VersaoFinal,$A24*12,Aporte_VersaoFinal*-1)</f>
        <v>39207.783308609112</v>
      </c>
      <c r="E24" s="68" cm="1">
        <f t="array" ref="E24">D24*RendimentoCarteira_VersaoFinal</f>
        <v>235.24669985165468</v>
      </c>
    </row>
    <row r="25" spans="1:5" ht="16.5">
      <c r="A25" s="46">
        <v>5</v>
      </c>
      <c r="B25" s="72"/>
      <c r="C25" s="71" t="s">
        <v>14</v>
      </c>
      <c r="D25" s="67" cm="1">
        <f t="array" ref="D25">FV(TaxaMensal_VersaoFinal,$A25*12,Aporte_VersaoFinal*-1)</f>
        <v>120638.75615782221</v>
      </c>
      <c r="E25" s="68" cm="1">
        <f t="array" ref="E25">D25*RendimentoCarteira_VersaoFinal</f>
        <v>723.83253694693326</v>
      </c>
    </row>
    <row r="26" spans="1:5" ht="16.5">
      <c r="A26" s="46">
        <v>10</v>
      </c>
      <c r="B26" s="72"/>
      <c r="C26" s="71" t="s">
        <v>15</v>
      </c>
      <c r="D26" s="67" cm="1">
        <f t="array" ref="D26">FV(TaxaMensal_VersaoFinal,$A26*12,Aporte_VersaoFinal*-1)</f>
        <v>350329.26604344795</v>
      </c>
      <c r="E26" s="68" cm="1">
        <f t="array" ref="E26">D26*RendimentoCarteira_VersaoFinal</f>
        <v>2101.9755962606878</v>
      </c>
    </row>
    <row r="27" spans="1:5" ht="16.5">
      <c r="A27" s="46">
        <v>20</v>
      </c>
      <c r="B27" s="72"/>
      <c r="C27" s="71" t="s">
        <v>16</v>
      </c>
      <c r="D27" s="67" cm="1">
        <f t="array" ref="D27">FV(TaxaMensal_VersaoFinal,$A27*12,Aporte_VersaoFinal*-1)</f>
        <v>1620285.6961397962</v>
      </c>
      <c r="E27" s="68" cm="1">
        <f t="array" ref="E27">D27*RendimentoCarteira_VersaoFinal</f>
        <v>9721.7141768387773</v>
      </c>
    </row>
    <row r="28" spans="1:5" ht="16.5">
      <c r="A28" s="46">
        <v>30</v>
      </c>
      <c r="B28" s="73"/>
      <c r="C28" s="74" t="s">
        <v>17</v>
      </c>
      <c r="D28" s="69" cm="1">
        <f t="array" ref="D28">FV(TaxaMensal_VersaoFinal,$A28*12,Aporte_VersaoFinal*-1)</f>
        <v>6223924.3032067893</v>
      </c>
      <c r="E28" s="70" cm="1">
        <f t="array" ref="E28">D28*RendimentoCarteira_VersaoFinal</f>
        <v>37343.545819240739</v>
      </c>
    </row>
    <row r="29" spans="1:5" ht="16.5"/>
    <row r="30" spans="1:5" ht="16.5">
      <c r="B30" s="79" t="s">
        <v>18</v>
      </c>
      <c r="C30" s="80"/>
      <c r="D30" s="80"/>
      <c r="E30" s="81"/>
    </row>
    <row r="31" spans="1:5" ht="16.5"/>
    <row r="32" spans="1:5" ht="16.5"/>
    <row r="33" spans="2:5" ht="16.5"/>
    <row r="34" spans="2:5" ht="16.5"/>
    <row r="35" spans="2:5" ht="16.5"/>
    <row r="36" spans="2:5" ht="16.5"/>
    <row r="37" spans="2:5" ht="16.5"/>
    <row r="38" spans="2:5" ht="16.5"/>
    <row r="39" spans="2:5" ht="16.5"/>
    <row r="40" spans="2:5" ht="16.5"/>
    <row r="41" spans="2:5" ht="16.5"/>
    <row r="42" spans="2:5" ht="16.5"/>
    <row r="43" spans="2:5" ht="16.5"/>
    <row r="44" spans="2:5" ht="16.5"/>
    <row r="45" spans="2:5" ht="16.5"/>
    <row r="46" spans="2:5" ht="16.5"/>
    <row r="47" spans="2:5" ht="20.25" customHeight="1"/>
    <row r="48" spans="2:5" ht="16.5">
      <c r="B48" s="82" t="s">
        <v>19</v>
      </c>
      <c r="C48" s="83"/>
      <c r="D48" s="52" t="s">
        <v>20</v>
      </c>
      <c r="E48" s="53" t="s">
        <v>21</v>
      </c>
    </row>
    <row r="49" spans="2:5" ht="16.5">
      <c r="B49" s="84" t="s">
        <v>22</v>
      </c>
      <c r="C49" s="85"/>
      <c r="D49" s="56">
        <f>VLOOKUP($E$16&amp;"-"&amp;B49,Técnico!$B:$E,4,FALSE)</f>
        <v>0.3</v>
      </c>
      <c r="E49" s="54">
        <f>D49*$C$16</f>
        <v>432</v>
      </c>
    </row>
    <row r="50" spans="2:5" ht="16.5">
      <c r="B50" s="77" t="s">
        <v>23</v>
      </c>
      <c r="C50" s="78"/>
      <c r="D50" s="57">
        <f>VLOOKUP($E$16&amp;"-"&amp;B50,Técnico!$B:$E,4,FALSE)</f>
        <v>0.5</v>
      </c>
      <c r="E50" s="55">
        <f>D50*$C$16</f>
        <v>720</v>
      </c>
    </row>
    <row r="51" spans="2:5" ht="16.5">
      <c r="B51" s="77" t="s">
        <v>24</v>
      </c>
      <c r="C51" s="78"/>
      <c r="D51" s="57">
        <f>VLOOKUP($E$16&amp;"-"&amp;B51,Técnico!$B:$E,4,FALSE)</f>
        <v>0.1</v>
      </c>
      <c r="E51" s="55">
        <f t="shared" ref="E51:E54" si="0">D51*$C$16</f>
        <v>144</v>
      </c>
    </row>
    <row r="52" spans="2:5" ht="16.5">
      <c r="B52" s="77" t="s">
        <v>25</v>
      </c>
      <c r="C52" s="78"/>
      <c r="D52" s="57">
        <f>VLOOKUP($E$16&amp;"-"&amp;B52,Técnico!$B:$E,4,FALSE)</f>
        <v>0.1</v>
      </c>
      <c r="E52" s="55">
        <f t="shared" si="0"/>
        <v>144</v>
      </c>
    </row>
    <row r="53" spans="2:5">
      <c r="B53" s="77" t="s">
        <v>26</v>
      </c>
      <c r="C53" s="78"/>
      <c r="D53" s="57">
        <f>VLOOKUP($E$16&amp;"-"&amp;B53,Técnico!$B:$E,4,FALSE)</f>
        <v>0</v>
      </c>
      <c r="E53" s="55">
        <f t="shared" si="0"/>
        <v>0</v>
      </c>
    </row>
    <row r="54" spans="2:5">
      <c r="B54" s="113" t="s">
        <v>27</v>
      </c>
      <c r="C54" s="114"/>
      <c r="D54" s="115">
        <f>VLOOKUP($E$16&amp;"-"&amp;B54,Técnico!$B:$E,4,FALSE)</f>
        <v>0</v>
      </c>
      <c r="E54" s="116">
        <f t="shared" si="0"/>
        <v>0</v>
      </c>
    </row>
    <row r="55" spans="2:5">
      <c r="B55" s="119"/>
      <c r="C55" s="120"/>
      <c r="D55" s="121">
        <f>SUM(D49:D54)</f>
        <v>1</v>
      </c>
      <c r="E55" s="123">
        <f>SUM(E49:E54)</f>
        <v>1440</v>
      </c>
    </row>
    <row r="56" spans="2:5">
      <c r="B56" s="117"/>
      <c r="C56" s="118"/>
      <c r="D56" s="122"/>
      <c r="E56" s="124"/>
    </row>
    <row r="57" spans="2:5"/>
    <row r="58" spans="2:5"/>
    <row r="59" spans="2:5"/>
  </sheetData>
  <mergeCells count="14">
    <mergeCell ref="E55:E56"/>
    <mergeCell ref="D55:D56"/>
    <mergeCell ref="B22:E22"/>
    <mergeCell ref="B23:C23"/>
    <mergeCell ref="B18:E18"/>
    <mergeCell ref="B14:E14"/>
    <mergeCell ref="B51:C51"/>
    <mergeCell ref="B52:C52"/>
    <mergeCell ref="B53:C53"/>
    <mergeCell ref="B54:C54"/>
    <mergeCell ref="B30:E30"/>
    <mergeCell ref="B48:C48"/>
    <mergeCell ref="B49:C49"/>
    <mergeCell ref="B50:C50"/>
  </mergeCells>
  <dataValidations count="1">
    <dataValidation type="list" allowBlank="1" showInputMessage="1" showErrorMessage="1" sqref="E16" xr:uid="{7DFC94C2-F1EB-44F4-8149-BEBCAAB4D498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5"/>
  <sheetViews>
    <sheetView showGridLines="0" topLeftCell="A38" workbookViewId="0">
      <selection activeCell="G45" sqref="G45"/>
    </sheetView>
  </sheetViews>
  <sheetFormatPr defaultColWidth="0" defaultRowHeight="16.5"/>
  <cols>
    <col min="1" max="1" width="3.5703125" style="18" customWidth="1"/>
    <col min="2" max="2" width="21.85546875" style="18" customWidth="1"/>
    <col min="3" max="3" width="12.85546875" style="18" customWidth="1"/>
    <col min="4" max="4" width="5.85546875" style="18" customWidth="1"/>
    <col min="5" max="5" width="23.140625" style="18" customWidth="1"/>
    <col min="6" max="6" width="17" style="18" customWidth="1"/>
    <col min="7" max="7" width="9.140625" style="18" customWidth="1"/>
    <col min="8" max="10" width="9.140625" style="18" hidden="1" customWidth="1"/>
    <col min="11" max="16384" width="0" style="18" hidden="1"/>
  </cols>
  <sheetData>
    <row r="2" spans="2:5">
      <c r="B2" s="17" t="s">
        <v>28</v>
      </c>
    </row>
    <row r="13" spans="2:5" ht="9.75" customHeight="1"/>
    <row r="15" spans="2:5">
      <c r="B15" s="94" t="s">
        <v>29</v>
      </c>
      <c r="C15" s="96"/>
      <c r="D15" s="96"/>
      <c r="E15" s="95"/>
    </row>
    <row r="16" spans="2:5">
      <c r="B16" s="105" t="s">
        <v>30</v>
      </c>
      <c r="C16" s="106"/>
      <c r="D16" s="106"/>
      <c r="E16" s="19">
        <v>1200</v>
      </c>
    </row>
    <row r="17" spans="1:6">
      <c r="B17" s="107" t="s">
        <v>31</v>
      </c>
      <c r="C17" s="108"/>
      <c r="D17" s="108"/>
      <c r="E17" s="20">
        <v>10</v>
      </c>
    </row>
    <row r="18" spans="1:6">
      <c r="B18" s="107" t="s">
        <v>32</v>
      </c>
      <c r="C18" s="108"/>
      <c r="D18" s="108"/>
      <c r="E18" s="44">
        <v>1.0789999999999999E-2</v>
      </c>
    </row>
    <row r="19" spans="1:6">
      <c r="B19" s="109" t="s">
        <v>33</v>
      </c>
      <c r="C19" s="110"/>
      <c r="D19" s="110"/>
      <c r="E19" s="21" cm="1">
        <f t="array" ref="E19">FV(Taxa_Mensal,Qtd_Anos*12,Aporte*-1)</f>
        <v>291941.05503620661</v>
      </c>
    </row>
    <row r="20" spans="1:6">
      <c r="B20" s="111" t="s">
        <v>34</v>
      </c>
      <c r="C20" s="112"/>
      <c r="D20" s="112"/>
      <c r="E20" s="22" cm="1">
        <f t="array" ref="E20">Patrimonio*Rendimento_Carteira</f>
        <v>1751.6463302172397</v>
      </c>
    </row>
    <row r="22" spans="1:6" ht="15.75" customHeight="1">
      <c r="B22" s="101" t="s">
        <v>11</v>
      </c>
      <c r="C22" s="102"/>
      <c r="D22" s="102"/>
      <c r="E22" s="102"/>
      <c r="F22" s="23" t="s">
        <v>35</v>
      </c>
    </row>
    <row r="23" spans="1:6">
      <c r="A23" s="24">
        <v>2</v>
      </c>
      <c r="B23" s="103" t="s">
        <v>36</v>
      </c>
      <c r="C23" s="104"/>
      <c r="D23" s="104"/>
      <c r="E23" s="25" cm="1">
        <f t="array" ref="E23">FV(Taxa_Mensal,$A23*12,Aporte*-1)</f>
        <v>32673.152757174259</v>
      </c>
      <c r="F23" s="26" cm="1">
        <f t="array" ref="F23">E23*Rendimento_Carteira</f>
        <v>196.03891654304556</v>
      </c>
    </row>
    <row r="24" spans="1:6">
      <c r="A24" s="24">
        <v>5</v>
      </c>
      <c r="B24" s="103" t="s">
        <v>37</v>
      </c>
      <c r="C24" s="104"/>
      <c r="D24" s="104"/>
      <c r="E24" s="25" cm="1">
        <f t="array" ref="E24">FV(Taxa_Mensal,$A24*12,Aporte*-1)</f>
        <v>100532.29679818517</v>
      </c>
      <c r="F24" s="26" cm="1">
        <f t="array" ref="F24">E24*Rendimento_Carteira</f>
        <v>603.19378078911097</v>
      </c>
    </row>
    <row r="25" spans="1:6">
      <c r="A25" s="24">
        <v>10</v>
      </c>
      <c r="B25" s="103" t="s">
        <v>38</v>
      </c>
      <c r="C25" s="104"/>
      <c r="D25" s="104"/>
      <c r="E25" s="25" cm="1">
        <f t="array" ref="E25">FV(Taxa_Mensal,$A25*12,Aporte*-1)</f>
        <v>291941.05503620661</v>
      </c>
      <c r="F25" s="26" cm="1">
        <f t="array" ref="F25">E25*Rendimento_Carteira</f>
        <v>1751.6463302172397</v>
      </c>
    </row>
    <row r="26" spans="1:6">
      <c r="A26" s="24">
        <v>20</v>
      </c>
      <c r="B26" s="103" t="s">
        <v>39</v>
      </c>
      <c r="C26" s="104"/>
      <c r="D26" s="104"/>
      <c r="E26" s="25" cm="1">
        <f t="array" ref="E26">FV(Taxa_Mensal,$A26*12,Aporte*-1)</f>
        <v>1350238.0801164967</v>
      </c>
      <c r="F26" s="26" cm="1">
        <f t="array" ref="F26">E26*Rendimento_Carteira</f>
        <v>8101.4284806989799</v>
      </c>
    </row>
    <row r="27" spans="1:6">
      <c r="A27" s="24">
        <v>30</v>
      </c>
      <c r="B27" s="92" t="s">
        <v>40</v>
      </c>
      <c r="C27" s="93"/>
      <c r="D27" s="93"/>
      <c r="E27" s="27" cm="1">
        <f t="array" ref="E27">FV(Taxa_Mensal,$A27*12,Aporte*-1)</f>
        <v>5186603.586005657</v>
      </c>
      <c r="F27" s="28" cm="1">
        <f t="array" ref="F27">E27*Rendimento_Carteira</f>
        <v>31119.621516033942</v>
      </c>
    </row>
    <row r="29" spans="1:6">
      <c r="B29" s="94" t="s">
        <v>41</v>
      </c>
      <c r="C29" s="95"/>
    </row>
    <row r="30" spans="1:6">
      <c r="B30" s="29" t="s">
        <v>42</v>
      </c>
      <c r="C30" s="30">
        <v>4000</v>
      </c>
    </row>
    <row r="31" spans="1:6" ht="29.25">
      <c r="B31" s="31" t="s">
        <v>3</v>
      </c>
      <c r="C31" s="32">
        <v>6.0000000000000001E-3</v>
      </c>
    </row>
    <row r="32" spans="1:6" ht="29.25">
      <c r="B32" s="33" t="s">
        <v>43</v>
      </c>
      <c r="C32" s="34" cm="1">
        <f t="array" ref="C32">Salario*30%</f>
        <v>1200</v>
      </c>
    </row>
    <row r="33" spans="2:6">
      <c r="B33" s="35"/>
      <c r="C33" s="36"/>
    </row>
    <row r="35" spans="2:6">
      <c r="B35" s="37" t="s">
        <v>44</v>
      </c>
      <c r="C35" s="37"/>
      <c r="D35" s="37"/>
      <c r="E35" s="97" t="s">
        <v>5</v>
      </c>
      <c r="F35" s="97"/>
    </row>
    <row r="36" spans="2:6">
      <c r="B36" s="99" t="s">
        <v>45</v>
      </c>
      <c r="C36" s="99"/>
      <c r="D36" s="99"/>
      <c r="E36" s="100" cm="1">
        <f t="array" ref="E36">Aporte</f>
        <v>1200</v>
      </c>
      <c r="F36" s="100"/>
    </row>
    <row r="38" spans="2:6">
      <c r="B38" s="98" t="s">
        <v>19</v>
      </c>
      <c r="C38" s="98"/>
      <c r="D38" s="38"/>
      <c r="E38" s="39" t="s">
        <v>20</v>
      </c>
      <c r="F38" s="76" t="s">
        <v>21</v>
      </c>
    </row>
    <row r="39" spans="2:6">
      <c r="B39" s="91" t="s">
        <v>22</v>
      </c>
      <c r="C39" s="91"/>
      <c r="D39" s="91"/>
      <c r="E39" s="40">
        <f>VLOOKUP($E$35&amp;"-"&amp;B39,Técnico!$B:$E,4,FALSE)</f>
        <v>0.3</v>
      </c>
      <c r="F39" s="41">
        <f>E39*$E$36</f>
        <v>360</v>
      </c>
    </row>
    <row r="40" spans="2:6">
      <c r="B40" s="91" t="s">
        <v>23</v>
      </c>
      <c r="C40" s="91"/>
      <c r="D40" s="91"/>
      <c r="E40" s="40">
        <f>VLOOKUP($E$35&amp;"-"&amp;B40,Técnico!$B:$E,4,FALSE)</f>
        <v>0.5</v>
      </c>
      <c r="F40" s="41">
        <f t="shared" ref="F40:F44" si="0">E40*$E$36</f>
        <v>600</v>
      </c>
    </row>
    <row r="41" spans="2:6">
      <c r="B41" s="91" t="s">
        <v>24</v>
      </c>
      <c r="C41" s="91"/>
      <c r="D41" s="91"/>
      <c r="E41" s="40">
        <f>VLOOKUP($E$35&amp;"-"&amp;B41,Técnico!$B:$E,4,FALSE)</f>
        <v>0.1</v>
      </c>
      <c r="F41" s="41">
        <f t="shared" si="0"/>
        <v>120</v>
      </c>
    </row>
    <row r="42" spans="2:6">
      <c r="B42" s="91" t="s">
        <v>25</v>
      </c>
      <c r="C42" s="91"/>
      <c r="D42" s="91"/>
      <c r="E42" s="40">
        <f>VLOOKUP($E$35&amp;"-"&amp;B42,Técnico!$B:$E,4,FALSE)</f>
        <v>0.1</v>
      </c>
      <c r="F42" s="41">
        <f t="shared" si="0"/>
        <v>120</v>
      </c>
    </row>
    <row r="43" spans="2:6">
      <c r="B43" s="91" t="s">
        <v>26</v>
      </c>
      <c r="C43" s="91"/>
      <c r="D43" s="91"/>
      <c r="E43" s="40">
        <f>VLOOKUP($E$35&amp;"-"&amp;B43,Técnico!$B:$E,4,FALSE)</f>
        <v>0</v>
      </c>
      <c r="F43" s="41">
        <f t="shared" si="0"/>
        <v>0</v>
      </c>
    </row>
    <row r="44" spans="2:6">
      <c r="B44" s="91" t="s">
        <v>27</v>
      </c>
      <c r="C44" s="91"/>
      <c r="D44" s="91"/>
      <c r="E44" s="40">
        <f>VLOOKUP($E$35&amp;"-"&amp;B44,Técnico!$B:$E,4,FALSE)</f>
        <v>0</v>
      </c>
      <c r="F44" s="41">
        <f t="shared" si="0"/>
        <v>0</v>
      </c>
    </row>
    <row r="45" spans="2:6">
      <c r="B45" s="42"/>
      <c r="C45" s="42"/>
      <c r="D45" s="42"/>
      <c r="E45" s="42"/>
      <c r="F45" s="43">
        <f>SUM(F39:F44)</f>
        <v>1200</v>
      </c>
    </row>
  </sheetData>
  <mergeCells count="23">
    <mergeCell ref="B15:E15"/>
    <mergeCell ref="E35:F35"/>
    <mergeCell ref="B38:C38"/>
    <mergeCell ref="B36:D36"/>
    <mergeCell ref="E36:F36"/>
    <mergeCell ref="B22:E22"/>
    <mergeCell ref="B23:D23"/>
    <mergeCell ref="B24:D24"/>
    <mergeCell ref="B25:D25"/>
    <mergeCell ref="B26:D26"/>
    <mergeCell ref="B16:D16"/>
    <mergeCell ref="B17:D17"/>
    <mergeCell ref="B18:D18"/>
    <mergeCell ref="B19:D19"/>
    <mergeCell ref="B20:D20"/>
    <mergeCell ref="B44:D44"/>
    <mergeCell ref="B27:D27"/>
    <mergeCell ref="B29:C29"/>
    <mergeCell ref="B39:D39"/>
    <mergeCell ref="B40:D40"/>
    <mergeCell ref="B41:D41"/>
    <mergeCell ref="B42:D42"/>
    <mergeCell ref="B43:D43"/>
  </mergeCells>
  <dataValidations count="1">
    <dataValidation type="list" allowBlank="1" showInputMessage="1" showErrorMessage="1" sqref="E35:F35" xr:uid="{6AAA4F1D-BD07-4A9F-B4AB-06E2E7499F9F}">
      <formula1>"Conservador, Moderado, Agressivo"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4AF0-6E27-4EA1-AE47-9BEA8D74C3F1}">
  <dimension ref="B2:I20"/>
  <sheetViews>
    <sheetView topLeftCell="D1" workbookViewId="0">
      <selection activeCell="E13" sqref="E13"/>
    </sheetView>
  </sheetViews>
  <sheetFormatPr defaultColWidth="9.140625" defaultRowHeight="16.5"/>
  <cols>
    <col min="1" max="1" width="4.42578125" style="1" customWidth="1"/>
    <col min="2" max="2" width="50.5703125" style="1" bestFit="1" customWidth="1"/>
    <col min="3" max="3" width="14.140625" style="1" bestFit="1" customWidth="1"/>
    <col min="4" max="4" width="36.7109375" style="1" bestFit="1" customWidth="1"/>
    <col min="5" max="5" width="8.85546875" style="7" bestFit="1" customWidth="1"/>
    <col min="6" max="7" width="9.140625" style="1"/>
    <col min="8" max="8" width="44.140625" style="1" bestFit="1" customWidth="1"/>
    <col min="9" max="16384" width="9.140625" style="1"/>
  </cols>
  <sheetData>
    <row r="2" spans="2:9">
      <c r="B2" s="2" t="s">
        <v>46</v>
      </c>
      <c r="C2" s="2" t="s">
        <v>44</v>
      </c>
      <c r="D2" s="2" t="s">
        <v>19</v>
      </c>
      <c r="E2" s="13" t="s">
        <v>47</v>
      </c>
      <c r="I2" s="1" t="s">
        <v>47</v>
      </c>
    </row>
    <row r="3" spans="2:9">
      <c r="B3" s="1" t="str">
        <f>C3&amp;"-"&amp;D3</f>
        <v>Conservador-PAPEL (Dívidas Imobiliárias)</v>
      </c>
      <c r="C3" s="1" t="s">
        <v>5</v>
      </c>
      <c r="D3" s="3" t="s">
        <v>22</v>
      </c>
      <c r="E3" s="12">
        <v>0.3</v>
      </c>
      <c r="H3" s="10" t="s">
        <v>48</v>
      </c>
      <c r="I3" s="16">
        <f>VLOOKUP(H3,$B:$E,4,FALSE)</f>
        <v>0.35</v>
      </c>
    </row>
    <row r="4" spans="2:9">
      <c r="B4" s="1" t="str">
        <f t="shared" ref="B4:B20" si="0">C4&amp;"-"&amp;D4</f>
        <v>Conservador-TIJOLO (Shoppings. prédios etc)</v>
      </c>
      <c r="C4" s="1" t="s">
        <v>5</v>
      </c>
      <c r="D4" s="3" t="s">
        <v>23</v>
      </c>
      <c r="E4" s="4">
        <v>0.5</v>
      </c>
    </row>
    <row r="5" spans="2:9">
      <c r="B5" s="1" t="str">
        <f t="shared" si="0"/>
        <v xml:space="preserve">Conservador-HÍBRIDOS </v>
      </c>
      <c r="C5" s="1" t="s">
        <v>5</v>
      </c>
      <c r="D5" s="3" t="s">
        <v>24</v>
      </c>
      <c r="E5" s="4">
        <v>0.1</v>
      </c>
    </row>
    <row r="6" spans="2:9">
      <c r="B6" s="1" t="str">
        <f t="shared" si="0"/>
        <v>Conservador-FOF's (Fundos de fundos)</v>
      </c>
      <c r="C6" s="1" t="s">
        <v>5</v>
      </c>
      <c r="D6" s="3" t="s">
        <v>25</v>
      </c>
      <c r="E6" s="4">
        <v>0.1</v>
      </c>
    </row>
    <row r="7" spans="2:9">
      <c r="B7" s="1" t="str">
        <f t="shared" si="0"/>
        <v>Conservador-DESENVOLVIMENTO (Novas obras)</v>
      </c>
      <c r="C7" s="1" t="s">
        <v>5</v>
      </c>
      <c r="D7" s="3" t="s">
        <v>26</v>
      </c>
      <c r="E7" s="4">
        <v>0</v>
      </c>
    </row>
    <row r="8" spans="2:9">
      <c r="B8" s="5" t="str">
        <f t="shared" si="0"/>
        <v>Conservador-HOTELARIA</v>
      </c>
      <c r="C8" s="5" t="s">
        <v>5</v>
      </c>
      <c r="D8" s="15" t="s">
        <v>27</v>
      </c>
      <c r="E8" s="6">
        <v>0</v>
      </c>
    </row>
    <row r="9" spans="2:9">
      <c r="B9" s="1" t="str">
        <f t="shared" si="0"/>
        <v>Moderado-PAPEL (Dívidas Imobiliárias)</v>
      </c>
      <c r="C9" s="1" t="s">
        <v>49</v>
      </c>
      <c r="D9" s="3" t="s">
        <v>22</v>
      </c>
      <c r="E9" s="8">
        <v>0.32</v>
      </c>
    </row>
    <row r="10" spans="2:9">
      <c r="B10" s="10" t="str">
        <f t="shared" si="0"/>
        <v>Moderado-TIJOLO (Shoppings. prédios etc)</v>
      </c>
      <c r="C10" s="10" t="s">
        <v>49</v>
      </c>
      <c r="D10" s="14" t="s">
        <v>23</v>
      </c>
      <c r="E10" s="11">
        <v>0.35</v>
      </c>
    </row>
    <row r="11" spans="2:9">
      <c r="B11" s="1" t="str">
        <f t="shared" si="0"/>
        <v xml:space="preserve">Moderado-HÍBRIDOS </v>
      </c>
      <c r="C11" s="1" t="s">
        <v>49</v>
      </c>
      <c r="D11" s="3" t="s">
        <v>24</v>
      </c>
      <c r="E11" s="8">
        <v>0.08</v>
      </c>
    </row>
    <row r="12" spans="2:9">
      <c r="B12" s="1" t="str">
        <f t="shared" si="0"/>
        <v>Moderado-FOF's (Fundos de fundos)</v>
      </c>
      <c r="C12" s="1" t="s">
        <v>49</v>
      </c>
      <c r="D12" s="3" t="s">
        <v>25</v>
      </c>
      <c r="E12" s="8">
        <v>0.05</v>
      </c>
    </row>
    <row r="13" spans="2:9">
      <c r="B13" s="1" t="str">
        <f t="shared" si="0"/>
        <v>Moderado-DESENVOLVIMENTO (Novas obras)</v>
      </c>
      <c r="C13" s="1" t="s">
        <v>49</v>
      </c>
      <c r="D13" s="3" t="s">
        <v>26</v>
      </c>
      <c r="E13" s="8">
        <v>0.1</v>
      </c>
    </row>
    <row r="14" spans="2:9">
      <c r="B14" s="5" t="str">
        <f t="shared" si="0"/>
        <v>Moderado-HOTELARIA</v>
      </c>
      <c r="C14" s="5" t="s">
        <v>49</v>
      </c>
      <c r="D14" s="15" t="s">
        <v>27</v>
      </c>
      <c r="E14" s="9">
        <v>0.1</v>
      </c>
    </row>
    <row r="15" spans="2:9">
      <c r="B15" s="1" t="str">
        <f t="shared" si="0"/>
        <v>Agressivo-PAPEL (Dívidas Imobiliárias)</v>
      </c>
      <c r="C15" s="1" t="s">
        <v>50</v>
      </c>
      <c r="D15" s="3" t="s">
        <v>22</v>
      </c>
      <c r="E15" s="8">
        <v>0.5</v>
      </c>
    </row>
    <row r="16" spans="2:9">
      <c r="B16" s="1" t="str">
        <f t="shared" si="0"/>
        <v>Agressivo-TIJOLO (Shoppings. prédios etc)</v>
      </c>
      <c r="C16" s="1" t="s">
        <v>50</v>
      </c>
      <c r="D16" s="3" t="s">
        <v>23</v>
      </c>
      <c r="E16" s="8">
        <v>0.1</v>
      </c>
    </row>
    <row r="17" spans="2:5">
      <c r="B17" s="1" t="str">
        <f t="shared" si="0"/>
        <v xml:space="preserve">Agressivo-HÍBRIDOS </v>
      </c>
      <c r="C17" s="1" t="s">
        <v>50</v>
      </c>
      <c r="D17" s="3" t="s">
        <v>24</v>
      </c>
      <c r="E17" s="8">
        <v>0.05</v>
      </c>
    </row>
    <row r="18" spans="2:5">
      <c r="B18" s="1" t="str">
        <f t="shared" si="0"/>
        <v>Agressivo-FOF's (Fundos de fundos)</v>
      </c>
      <c r="C18" s="1" t="s">
        <v>50</v>
      </c>
      <c r="D18" s="3" t="s">
        <v>25</v>
      </c>
      <c r="E18" s="8">
        <v>0.05</v>
      </c>
    </row>
    <row r="19" spans="2:5">
      <c r="B19" s="1" t="str">
        <f t="shared" si="0"/>
        <v>Agressivo-DESENVOLVIMENTO (Novas obras)</v>
      </c>
      <c r="C19" s="1" t="s">
        <v>50</v>
      </c>
      <c r="D19" s="3" t="s">
        <v>26</v>
      </c>
      <c r="E19" s="8">
        <v>0.2</v>
      </c>
    </row>
    <row r="20" spans="2:5">
      <c r="B20" s="1" t="str">
        <f t="shared" si="0"/>
        <v>Agressivo-HOTELARIA</v>
      </c>
      <c r="C20" s="1" t="s">
        <v>50</v>
      </c>
      <c r="D20" s="3" t="s">
        <v>27</v>
      </c>
      <c r="E20" s="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2026-09-30T03:17:57Z</dcterms:created>
  <dcterms:modified xsi:type="dcterms:W3CDTF">2026-10-06T20:34:39Z</dcterms:modified>
  <cp:category/>
  <cp:contentStatus/>
</cp:coreProperties>
</file>